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servatory" sheetId="1" r:id="rId1"/>
    <sheet name="Night log" sheetId="2" r:id="rId2"/>
    <sheet name="Exposure planner" sheetId="3" r:id="rId3"/>
  </sheets>
</workbook>
</file>

<file path=xl/styles.xml><?xml version="1.0" encoding="utf-8"?>
<styleSheet xmlns="http://schemas.openxmlformats.org/spreadsheetml/2006/main">
  <fonts count="3">
    <font>
      <sz val="11"/>
      <name val="Aptos"/>
      <color rgb="FF17324D"/>
    </font>
    <font>
      <b/>
      <sz val="11"/>
      <name val="Aptos"/>
      <color rgb="FFFFFFFF"/>
    </font>
    <font>
      <b/>
      <sz val="18"/>
      <name val="Aptos"/>
      <color rgb="FF0574CF"/>
    </font>
  </fonts>
  <fills count="4">
    <fill>
      <patternFill patternType="none"/>
    </fill>
    <fill>
      <patternFill patternType="gray125"/>
    </fill>
    <fill>
      <patternFill patternType="solid">
        <fgColor rgb="FF07162E"/>
        <bgColor indexed="64"/>
      </patternFill>
    </fill>
    <fill>
      <patternFill patternType="solid">
        <fgColor rgb="FFEA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3" customWidth="1"/>
    <col min="2" max="8" width="19" customWidth="1"/>
  </cols>
  <sheetData>
    <row r="1">
      <c r="A1" t="inlineStr" s="2">
        <is>
          <t>AURORA LAB</t>
        </is>
      </c>
      <c r="B1" t="inlineStr" s="2">
        <is>
          <t>NIGHT / 03</t>
        </is>
      </c>
      <c r="C1" t="inlineStr" s="2">
        <is>
          <t>OBSERVATORY</t>
        </is>
      </c>
      <c r="D1" t="inlineStr" s="2">
        <is>
          <t/>
        </is>
      </c>
      <c r="E1" t="inlineStr" s="2">
        <is>
          <t/>
        </is>
      </c>
      <c r="F1" t="inlineStr" s="2">
        <is>
          <t/>
        </is>
      </c>
      <c r="G1" t="inlineStr" s="2">
        <is>
          <t/>
        </is>
      </c>
      <c r="H1" t="inlineStr" s="2">
        <is>
          <t/>
        </is>
      </c>
    </row>
    <row r="2">
      <c r="A2" t="inlineStr" s="3">
        <is>
          <t>PUBLIC SAMPLE</t>
        </is>
      </c>
      <c r="B2" t="inlineStr" s="3">
        <is>
          <t>6 stations</t>
        </is>
      </c>
      <c r="C2" t="inlineStr" s="3">
        <is>
          <t>FICTIONAL DATA</t>
        </is>
      </c>
      <c r="D2" t="inlineStr" s="3">
        <is>
          <t/>
        </is>
      </c>
      <c r="E2" t="inlineStr" s="3">
        <is>
          <t/>
        </is>
      </c>
      <c r="F2" t="inlineStr" s="3">
        <is>
          <t/>
        </is>
      </c>
      <c r="G2" t="inlineStr" s="3">
        <is>
          <t/>
        </is>
      </c>
      <c r="H2" t="inlineStr" s="3">
        <is>
          <t/>
        </is>
      </c>
    </row>
    <row r="3"/>
    <row r="4">
      <c r="A4" t="inlineStr" s="1">
        <is>
          <t>STATION</t>
        </is>
      </c>
      <c r="B4" t="inlineStr" s="1">
        <is>
          <t>LATITUDE</t>
        </is>
      </c>
      <c r="C4" t="inlineStr" s="1">
        <is>
          <t>SKY</t>
        </is>
      </c>
      <c r="D4" t="inlineStr" s="1">
        <is>
          <t>Kp INDEX</t>
        </is>
      </c>
      <c r="E4" t="inlineStr" s="1">
        <is>
          <t>ACTIVITY</t>
        </is>
      </c>
      <c r="F4" t="inlineStr" s="1">
        <is>
          <t>SCORE / 100</t>
        </is>
      </c>
      <c r="G4" t="inlineStr" s="1">
        <is>
          <t>BEST WINDOW</t>
        </is>
      </c>
      <c r="H4" t="inlineStr" s="1">
        <is>
          <t>FORMATION</t>
        </is>
      </c>
    </row>
    <row r="5">
      <c r="A5" t="inlineStr" s="0">
        <is>
          <t>Lyra Fjord</t>
        </is>
      </c>
      <c r="B5" t="inlineStr" s="0">
        <is>
          <t>66.2° N</t>
        </is>
      </c>
      <c r="C5" t="inlineStr" s="0">
        <is>
          <t>CLEAR</t>
        </is>
      </c>
      <c r="D5" s="0">
        <v>4.8</v>
      </c>
      <c r="E5" t="inlineStr" s="0">
        <is>
          <t>▁▂▄▆█▆▄</t>
        </is>
      </c>
      <c r="F5" s="0">
        <v>92</v>
      </c>
      <c r="G5" t="inlineStr" s="0">
        <is>
          <t>22:40</t>
        </is>
      </c>
      <c r="H5" t="inlineStr" s="0">
        <is>
          <t>BLUE ARC</t>
        </is>
      </c>
    </row>
    <row r="6">
      <c r="A6" t="inlineStr" s="3">
        <is>
          <t>Orion Camp</t>
        </is>
      </c>
      <c r="B6" t="inlineStr" s="3">
        <is>
          <t>68.1° N</t>
        </is>
      </c>
      <c r="C6" t="inlineStr" s="3">
        <is>
          <t>CLEAR</t>
        </is>
      </c>
      <c r="D6" s="3">
        <v>5.2</v>
      </c>
      <c r="E6" t="inlineStr" s="3">
        <is>
          <t>▂▃▅▇█▅▃</t>
        </is>
      </c>
      <c r="F6" s="3">
        <v>96</v>
      </c>
      <c r="G6" t="inlineStr" s="3">
        <is>
          <t>23:10</t>
        </is>
      </c>
      <c r="H6" t="inlineStr" s="3">
        <is>
          <t>CORONA</t>
        </is>
      </c>
    </row>
    <row r="7">
      <c r="A7" t="inlineStr" s="0">
        <is>
          <t>Vega Ridge</t>
        </is>
      </c>
      <c r="B7" t="inlineStr" s="0">
        <is>
          <t>67.4° N</t>
        </is>
      </c>
      <c r="C7" t="inlineStr" s="0">
        <is>
          <t>THIN CLOUD</t>
        </is>
      </c>
      <c r="D7" s="0">
        <v>4.1</v>
      </c>
      <c r="E7" t="inlineStr" s="0">
        <is>
          <t>▁▂▃▅▆▄▂</t>
        </is>
      </c>
      <c r="F7" s="0">
        <v>78</v>
      </c>
      <c r="G7" t="inlineStr" s="0">
        <is>
          <t>21:55</t>
        </is>
      </c>
      <c r="H7" t="inlineStr" s="0">
        <is>
          <t>CURTAIN</t>
        </is>
      </c>
    </row>
    <row r="8">
      <c r="A8" t="inlineStr" s="3">
        <is>
          <t>Polaris Bay</t>
        </is>
      </c>
      <c r="B8" t="inlineStr" s="3">
        <is>
          <t>69.0° N</t>
        </is>
      </c>
      <c r="C8" t="inlineStr" s="3">
        <is>
          <t>CLEAR</t>
        </is>
      </c>
      <c r="D8" s="3">
        <v>5.6</v>
      </c>
      <c r="E8" t="inlineStr" s="3">
        <is>
          <t>▂▄▅▆█▇▄</t>
        </is>
      </c>
      <c r="F8" s="3">
        <v>98</v>
      </c>
      <c r="G8" t="inlineStr" s="3">
        <is>
          <t>00:20</t>
        </is>
      </c>
      <c r="H8" t="inlineStr" s="3">
        <is>
          <t>RAYS</t>
        </is>
      </c>
    </row>
    <row r="9">
      <c r="A9" t="inlineStr" s="0">
        <is>
          <t>Altair Point</t>
        </is>
      </c>
      <c r="B9" t="inlineStr" s="0">
        <is>
          <t>65.8° N</t>
        </is>
      </c>
      <c r="C9" t="inlineStr" s="0">
        <is>
          <t>CLEAR</t>
        </is>
      </c>
      <c r="D9" s="0">
        <v>3.7</v>
      </c>
      <c r="E9" t="inlineStr" s="0">
        <is>
          <t>▁▂▃▄▅▃▂</t>
        </is>
      </c>
      <c r="F9" s="0">
        <v>71</v>
      </c>
      <c r="G9" t="inlineStr" s="0">
        <is>
          <t>22:05</t>
        </is>
      </c>
      <c r="H9" t="inlineStr" s="0">
        <is>
          <t>LOW ARC</t>
        </is>
      </c>
    </row>
    <row r="10">
      <c r="A10" t="inlineStr" s="3">
        <is>
          <t>Nova Station</t>
        </is>
      </c>
      <c r="B10" t="inlineStr" s="3">
        <is>
          <t>70.2° N</t>
        </is>
      </c>
      <c r="C10" t="inlineStr" s="3">
        <is>
          <t>THIN CLOUD</t>
        </is>
      </c>
      <c r="D10" s="3">
        <v>4.9</v>
      </c>
      <c r="E10" t="inlineStr" s="3">
        <is>
          <t>▂▃▄▇█▆▄</t>
        </is>
      </c>
      <c r="F10" s="3">
        <v>86</v>
      </c>
      <c r="G10" t="inlineStr" s="3">
        <is>
          <t>23:35</t>
        </is>
      </c>
      <c r="H10" t="inlineStr" s="3">
        <is>
          <t>FOLD</t>
        </is>
      </c>
    </row>
    <row r="11"/>
    <row r="12">
      <c r="A12" t="inlineStr" s="3">
        <is>
          <t>SKY WATCH</t>
        </is>
      </c>
      <c r="B12" t="inlineStr" s="3">
        <is>
          <t>▁▂▃▅▆█▇▄</t>
        </is>
      </c>
      <c r="C12" t="inlineStr" s="3">
        <is>
          <t>21:00 → 01:00</t>
        </is>
      </c>
    </row>
    <row r="13">
      <c r="A13" t="inlineStr" s="0">
        <is>
          <t>STATUS</t>
        </is>
      </c>
      <c r="B13" t="inlineStr" s="0">
        <is>
          <t>ALL SYSTEMS GO</t>
        </is>
      </c>
      <c r="C13" t="inlineStr" s="0">
        <is>
          <t>NEXT / 00:45</t>
        </is>
      </c>
    </row>
    <row r="14"/>
    <row r="15">
      <c r="A15" t="inlineStr" s="0">
        <is>
          <t>METRIC</t>
        </is>
      </c>
      <c r="B15" t="inlineStr" s="0">
        <is>
          <t>VALUE</t>
        </is>
      </c>
      <c r="C15" t="inlineStr" s="0">
        <is>
          <t>UNIT</t>
        </is>
      </c>
    </row>
    <row r="16">
      <c r="A16" t="inlineStr" s="3">
        <is>
          <t>Observation time</t>
        </is>
      </c>
      <c r="B16" s="3">
        <v>240</v>
      </c>
      <c r="C16" t="inlineStr" s="3">
        <is>
          <t>minutes</t>
        </is>
      </c>
    </row>
    <row r="17">
      <c r="A17" t="inlineStr" s="0">
        <is>
          <t>Exposure count</t>
        </is>
      </c>
      <c r="B17" s="0">
        <v>1260</v>
      </c>
      <c r="C17" t="inlineStr" s="0">
        <is>
          <t>frames</t>
        </is>
      </c>
    </row>
    <row r="18">
      <c r="A18" t="inlineStr" s="3">
        <is>
          <t>Battery reserve</t>
        </is>
      </c>
      <c r="B18" s="3">
        <v>84</v>
      </c>
      <c r="C18" t="inlineStr" s="3">
        <is>
          <t>percent</t>
        </is>
      </c>
    </row>
    <row r="19">
      <c r="A19" t="inlineStr" s="0">
        <is>
          <t>Cloud cover</t>
        </is>
      </c>
      <c r="B19" s="0">
        <v>12</v>
      </c>
      <c r="C19" t="inlineStr" s="0">
        <is>
          <t>percent</t>
        </is>
      </c>
    </row>
    <row r="20">
      <c r="A20" t="inlineStr" s="3">
        <is>
          <t>Data captured</t>
        </is>
      </c>
      <c r="B20" s="3">
        <v>48.6</v>
      </c>
      <c r="C20" t="inlineStr" s="3">
        <is>
          <t>GB</t>
        </is>
      </c>
    </row>
    <row r="21"/>
    <row r="22">
      <c r="A22" t="inlineStr" s="3">
        <is>
          <t>NOTE</t>
        </is>
      </c>
      <c r="B22" t="inlineStr" s="3">
        <is>
          <t>Invented stations and observations. Not a live forecast.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8" width="19" customWidth="1"/>
  </cols>
  <sheetData>
    <row r="1">
      <c r="A1" t="inlineStr" s="2">
        <is>
          <t>TIME / UTC</t>
        </is>
      </c>
      <c r="B1" t="inlineStr" s="2">
        <is>
          <t>STATION</t>
        </is>
      </c>
      <c r="C1" t="inlineStr" s="2">
        <is>
          <t>EXPOSURE / s</t>
        </is>
      </c>
      <c r="D1" t="inlineStr" s="2">
        <is>
          <t>FRAMES</t>
        </is>
      </c>
      <c r="E1" t="inlineStr" s="2">
        <is>
          <t>TOTAL / s</t>
        </is>
      </c>
      <c r="F1" t="inlineStr" s="2">
        <is>
          <t>SKY</t>
        </is>
      </c>
      <c r="G1" t="inlineStr" s="2">
        <is>
          <t>NOTES</t>
        </is>
      </c>
    </row>
    <row r="2">
      <c r="A2" t="inlineStr" s="3">
        <is>
          <t>20:00</t>
        </is>
      </c>
      <c r="B2" t="inlineStr" s="3">
        <is>
          <t>Lyra Fjord</t>
        </is>
      </c>
      <c r="C2" s="3">
        <v>4</v>
      </c>
      <c r="D2" s="3">
        <v>18</v>
      </c>
      <c r="E2">
        <f>C2*D2</f>
        <v>72</v>
      </c>
      <c r="F2" t="inlineStr" s="3">
        <is>
          <t>THIN CLOUD</t>
        </is>
      </c>
      <c r="G2" t="inlineStr" s="3">
        <is>
          <t>PEAK ARC</t>
        </is>
      </c>
    </row>
    <row r="3">
      <c r="A3" t="inlineStr" s="0">
        <is>
          <t>20:05</t>
        </is>
      </c>
      <c r="B3" t="inlineStr" s="0">
        <is>
          <t>Orion Camp</t>
        </is>
      </c>
      <c r="C3" s="0">
        <v>6</v>
      </c>
      <c r="D3" s="0">
        <v>21</v>
      </c>
      <c r="E3">
        <f>C3*D3</f>
        <v>126</v>
      </c>
      <c r="F3" t="inlineStr" s="0">
        <is>
          <t>CLEAR</t>
        </is>
      </c>
      <c r="G3" t="inlineStr" s="0">
        <is>
          <t>TRACKING</t>
        </is>
      </c>
    </row>
    <row r="4">
      <c r="A4" t="inlineStr" s="3">
        <is>
          <t>20:10</t>
        </is>
      </c>
      <c r="B4" t="inlineStr" s="3">
        <is>
          <t>Vega Ridge</t>
        </is>
      </c>
      <c r="C4" s="3">
        <v>8</v>
      </c>
      <c r="D4" s="3">
        <v>24</v>
      </c>
      <c r="E4">
        <f>C4*D4</f>
        <v>192</v>
      </c>
      <c r="F4" t="inlineStr" s="3">
        <is>
          <t>CLEAR</t>
        </is>
      </c>
      <c r="G4" t="inlineStr" s="3">
        <is>
          <t>TRACKING</t>
        </is>
      </c>
    </row>
    <row r="5">
      <c r="A5" t="inlineStr" s="0">
        <is>
          <t>20:15</t>
        </is>
      </c>
      <c r="B5" t="inlineStr" s="0">
        <is>
          <t>Polaris Bay</t>
        </is>
      </c>
      <c r="C5" s="0">
        <v>10</v>
      </c>
      <c r="D5" s="0">
        <v>27</v>
      </c>
      <c r="E5">
        <f>C5*D5</f>
        <v>270</v>
      </c>
      <c r="F5" t="inlineStr" s="0">
        <is>
          <t>CLEAR</t>
        </is>
      </c>
      <c r="G5" t="inlineStr" s="0">
        <is>
          <t>TRACKING</t>
        </is>
      </c>
    </row>
    <row r="6">
      <c r="A6" t="inlineStr" s="3">
        <is>
          <t>20:20</t>
        </is>
      </c>
      <c r="B6" t="inlineStr" s="3">
        <is>
          <t>Altair Point</t>
        </is>
      </c>
      <c r="C6" s="3">
        <v>12</v>
      </c>
      <c r="D6" s="3">
        <v>30</v>
      </c>
      <c r="E6">
        <f>C6*D6</f>
        <v>360</v>
      </c>
      <c r="F6" t="inlineStr" s="3">
        <is>
          <t>CLEAR</t>
        </is>
      </c>
      <c r="G6" t="inlineStr" s="3">
        <is>
          <t>PEAK ARC</t>
        </is>
      </c>
    </row>
    <row r="7">
      <c r="A7" t="inlineStr" s="0">
        <is>
          <t>20:25</t>
        </is>
      </c>
      <c r="B7" t="inlineStr" s="0">
        <is>
          <t>Nova Station</t>
        </is>
      </c>
      <c r="C7" s="0">
        <v>4</v>
      </c>
      <c r="D7" s="0">
        <v>33</v>
      </c>
      <c r="E7">
        <f>C7*D7</f>
        <v>132</v>
      </c>
      <c r="F7" t="inlineStr" s="0">
        <is>
          <t>CLEAR</t>
        </is>
      </c>
      <c r="G7" t="inlineStr" s="0">
        <is>
          <t>TRACKING</t>
        </is>
      </c>
    </row>
    <row r="8">
      <c r="A8" t="inlineStr" s="3">
        <is>
          <t>20:30</t>
        </is>
      </c>
      <c r="B8" t="inlineStr" s="3">
        <is>
          <t>Lyra Fjord</t>
        </is>
      </c>
      <c r="C8" s="3">
        <v>6</v>
      </c>
      <c r="D8" s="3">
        <v>18</v>
      </c>
      <c r="E8">
        <f>C8*D8</f>
        <v>108</v>
      </c>
      <c r="F8" t="inlineStr" s="3">
        <is>
          <t>CLEAR</t>
        </is>
      </c>
      <c r="G8" t="inlineStr" s="3">
        <is>
          <t>TRACKING</t>
        </is>
      </c>
    </row>
    <row r="9">
      <c r="A9" t="inlineStr" s="0">
        <is>
          <t>20:35</t>
        </is>
      </c>
      <c r="B9" t="inlineStr" s="0">
        <is>
          <t>Orion Camp</t>
        </is>
      </c>
      <c r="C9" s="0">
        <v>8</v>
      </c>
      <c r="D9" s="0">
        <v>21</v>
      </c>
      <c r="E9">
        <f>C9*D9</f>
        <v>168</v>
      </c>
      <c r="F9" t="inlineStr" s="0">
        <is>
          <t>THIN CLOUD</t>
        </is>
      </c>
      <c r="G9" t="inlineStr" s="0">
        <is>
          <t>TRACKING</t>
        </is>
      </c>
    </row>
    <row r="10">
      <c r="A10" t="inlineStr" s="3">
        <is>
          <t>20:40</t>
        </is>
      </c>
      <c r="B10" t="inlineStr" s="3">
        <is>
          <t>Vega Ridge</t>
        </is>
      </c>
      <c r="C10" s="3">
        <v>10</v>
      </c>
      <c r="D10" s="3">
        <v>24</v>
      </c>
      <c r="E10">
        <f>C10*D10</f>
        <v>240</v>
      </c>
      <c r="F10" t="inlineStr" s="3">
        <is>
          <t>CLEAR</t>
        </is>
      </c>
      <c r="G10" t="inlineStr" s="3">
        <is>
          <t>PEAK ARC</t>
        </is>
      </c>
    </row>
    <row r="11">
      <c r="A11" t="inlineStr" s="0">
        <is>
          <t>20:45</t>
        </is>
      </c>
      <c r="B11" t="inlineStr" s="0">
        <is>
          <t>Polaris Bay</t>
        </is>
      </c>
      <c r="C11" s="0">
        <v>12</v>
      </c>
      <c r="D11" s="0">
        <v>27</v>
      </c>
      <c r="E11">
        <f>C11*D11</f>
        <v>324</v>
      </c>
      <c r="F11" t="inlineStr" s="0">
        <is>
          <t>CLEAR</t>
        </is>
      </c>
      <c r="G11" t="inlineStr" s="0">
        <is>
          <t>TRACKING</t>
        </is>
      </c>
    </row>
    <row r="12">
      <c r="A12" t="inlineStr" s="3">
        <is>
          <t>20:50</t>
        </is>
      </c>
      <c r="B12" t="inlineStr" s="3">
        <is>
          <t>Altair Point</t>
        </is>
      </c>
      <c r="C12" s="3">
        <v>4</v>
      </c>
      <c r="D12" s="3">
        <v>30</v>
      </c>
      <c r="E12">
        <f>C12*D12</f>
        <v>120</v>
      </c>
      <c r="F12" t="inlineStr" s="3">
        <is>
          <t>CLEAR</t>
        </is>
      </c>
      <c r="G12" t="inlineStr" s="3">
        <is>
          <t>TRACKING</t>
        </is>
      </c>
    </row>
    <row r="13">
      <c r="A13" t="inlineStr" s="0">
        <is>
          <t>20:55</t>
        </is>
      </c>
      <c r="B13" t="inlineStr" s="0">
        <is>
          <t>Nova Station</t>
        </is>
      </c>
      <c r="C13" s="0">
        <v>6</v>
      </c>
      <c r="D13" s="0">
        <v>33</v>
      </c>
      <c r="E13">
        <f>C13*D13</f>
        <v>198</v>
      </c>
      <c r="F13" t="inlineStr" s="0">
        <is>
          <t>CLEAR</t>
        </is>
      </c>
      <c r="G13" t="inlineStr" s="0">
        <is>
          <t>TRACKING</t>
        </is>
      </c>
    </row>
    <row r="14">
      <c r="A14" t="inlineStr" s="3">
        <is>
          <t>21:00</t>
        </is>
      </c>
      <c r="B14" t="inlineStr" s="3">
        <is>
          <t>Lyra Fjord</t>
        </is>
      </c>
      <c r="C14" s="3">
        <v>8</v>
      </c>
      <c r="D14" s="3">
        <v>18</v>
      </c>
      <c r="E14">
        <f>C14*D14</f>
        <v>144</v>
      </c>
      <c r="F14" t="inlineStr" s="3">
        <is>
          <t>CLEAR</t>
        </is>
      </c>
      <c r="G14" t="inlineStr" s="3">
        <is>
          <t>PEAK ARC</t>
        </is>
      </c>
    </row>
    <row r="15">
      <c r="A15" t="inlineStr" s="0">
        <is>
          <t>21:05</t>
        </is>
      </c>
      <c r="B15" t="inlineStr" s="0">
        <is>
          <t>Orion Camp</t>
        </is>
      </c>
      <c r="C15" s="0">
        <v>10</v>
      </c>
      <c r="D15" s="0">
        <v>21</v>
      </c>
      <c r="E15">
        <f>C15*D15</f>
        <v>210</v>
      </c>
      <c r="F15" t="inlineStr" s="0">
        <is>
          <t>CLEAR</t>
        </is>
      </c>
      <c r="G15" t="inlineStr" s="0">
        <is>
          <t>TRACKING</t>
        </is>
      </c>
    </row>
    <row r="16">
      <c r="A16" t="inlineStr" s="3">
        <is>
          <t>21:10</t>
        </is>
      </c>
      <c r="B16" t="inlineStr" s="3">
        <is>
          <t>Vega Ridge</t>
        </is>
      </c>
      <c r="C16" s="3">
        <v>12</v>
      </c>
      <c r="D16" s="3">
        <v>24</v>
      </c>
      <c r="E16">
        <f>C16*D16</f>
        <v>288</v>
      </c>
      <c r="F16" t="inlineStr" s="3">
        <is>
          <t>THIN CLOUD</t>
        </is>
      </c>
      <c r="G16" t="inlineStr" s="3">
        <is>
          <t>TRACKING</t>
        </is>
      </c>
    </row>
    <row r="17">
      <c r="A17" t="inlineStr" s="0">
        <is>
          <t>21:15</t>
        </is>
      </c>
      <c r="B17" t="inlineStr" s="0">
        <is>
          <t>Polaris Bay</t>
        </is>
      </c>
      <c r="C17" s="0">
        <v>4</v>
      </c>
      <c r="D17" s="0">
        <v>27</v>
      </c>
      <c r="E17">
        <f>C17*D17</f>
        <v>108</v>
      </c>
      <c r="F17" t="inlineStr" s="0">
        <is>
          <t>CLEAR</t>
        </is>
      </c>
      <c r="G17" t="inlineStr" s="0">
        <is>
          <t>TRACKING</t>
        </is>
      </c>
    </row>
    <row r="18">
      <c r="A18" t="inlineStr" s="3">
        <is>
          <t>21:20</t>
        </is>
      </c>
      <c r="B18" t="inlineStr" s="3">
        <is>
          <t>Altair Point</t>
        </is>
      </c>
      <c r="C18" s="3">
        <v>6</v>
      </c>
      <c r="D18" s="3">
        <v>30</v>
      </c>
      <c r="E18">
        <f>C18*D18</f>
        <v>180</v>
      </c>
      <c r="F18" t="inlineStr" s="3">
        <is>
          <t>CLEAR</t>
        </is>
      </c>
      <c r="G18" t="inlineStr" s="3">
        <is>
          <t>PEAK ARC</t>
        </is>
      </c>
    </row>
    <row r="19">
      <c r="A19" t="inlineStr" s="0">
        <is>
          <t>21:25</t>
        </is>
      </c>
      <c r="B19" t="inlineStr" s="0">
        <is>
          <t>Nova Station</t>
        </is>
      </c>
      <c r="C19" s="0">
        <v>8</v>
      </c>
      <c r="D19" s="0">
        <v>33</v>
      </c>
      <c r="E19">
        <f>C19*D19</f>
        <v>264</v>
      </c>
      <c r="F19" t="inlineStr" s="0">
        <is>
          <t>CLEAR</t>
        </is>
      </c>
      <c r="G19" t="inlineStr" s="0">
        <is>
          <t>TRACKING</t>
        </is>
      </c>
    </row>
    <row r="20">
      <c r="A20" t="inlineStr" s="3">
        <is>
          <t>21:30</t>
        </is>
      </c>
      <c r="B20" t="inlineStr" s="3">
        <is>
          <t>Lyra Fjord</t>
        </is>
      </c>
      <c r="C20" s="3">
        <v>10</v>
      </c>
      <c r="D20" s="3">
        <v>18</v>
      </c>
      <c r="E20">
        <f>C20*D20</f>
        <v>180</v>
      </c>
      <c r="F20" t="inlineStr" s="3">
        <is>
          <t>CLEAR</t>
        </is>
      </c>
      <c r="G20" t="inlineStr" s="3">
        <is>
          <t>TRACKING</t>
        </is>
      </c>
    </row>
    <row r="21">
      <c r="A21" t="inlineStr" s="0">
        <is>
          <t>21:35</t>
        </is>
      </c>
      <c r="B21" t="inlineStr" s="0">
        <is>
          <t>Orion Camp</t>
        </is>
      </c>
      <c r="C21" s="0">
        <v>12</v>
      </c>
      <c r="D21" s="0">
        <v>21</v>
      </c>
      <c r="E21">
        <f>C21*D21</f>
        <v>252</v>
      </c>
      <c r="F21" t="inlineStr" s="0">
        <is>
          <t>CLEAR</t>
        </is>
      </c>
      <c r="G21" t="inlineStr" s="0">
        <is>
          <t>TRACKING</t>
        </is>
      </c>
    </row>
    <row r="22">
      <c r="A22" t="inlineStr" s="3">
        <is>
          <t>21:40</t>
        </is>
      </c>
      <c r="B22" t="inlineStr" s="3">
        <is>
          <t>Vega Ridge</t>
        </is>
      </c>
      <c r="C22" s="3">
        <v>4</v>
      </c>
      <c r="D22" s="3">
        <v>24</v>
      </c>
      <c r="E22">
        <f>C22*D22</f>
        <v>96</v>
      </c>
      <c r="F22" t="inlineStr" s="3">
        <is>
          <t>CLEAR</t>
        </is>
      </c>
      <c r="G22" t="inlineStr" s="3">
        <is>
          <t>PEAK ARC</t>
        </is>
      </c>
    </row>
    <row r="23">
      <c r="A23" t="inlineStr" s="0">
        <is>
          <t>21:45</t>
        </is>
      </c>
      <c r="B23" t="inlineStr" s="0">
        <is>
          <t>Polaris Bay</t>
        </is>
      </c>
      <c r="C23" s="0">
        <v>6</v>
      </c>
      <c r="D23" s="0">
        <v>27</v>
      </c>
      <c r="E23">
        <f>C23*D23</f>
        <v>162</v>
      </c>
      <c r="F23" t="inlineStr" s="0">
        <is>
          <t>THIN CLOUD</t>
        </is>
      </c>
      <c r="G23" t="inlineStr" s="0">
        <is>
          <t>TRACKING</t>
        </is>
      </c>
    </row>
    <row r="24">
      <c r="A24" t="inlineStr" s="3">
        <is>
          <t>21:50</t>
        </is>
      </c>
      <c r="B24" t="inlineStr" s="3">
        <is>
          <t>Altair Point</t>
        </is>
      </c>
      <c r="C24" s="3">
        <v>8</v>
      </c>
      <c r="D24" s="3">
        <v>30</v>
      </c>
      <c r="E24">
        <f>C24*D24</f>
        <v>240</v>
      </c>
      <c r="F24" t="inlineStr" s="3">
        <is>
          <t>CLEAR</t>
        </is>
      </c>
      <c r="G24" t="inlineStr" s="3">
        <is>
          <t>TRACKING</t>
        </is>
      </c>
    </row>
    <row r="25">
      <c r="A25" t="inlineStr" s="0">
        <is>
          <t>21:55</t>
        </is>
      </c>
      <c r="B25" t="inlineStr" s="0">
        <is>
          <t>Nova Station</t>
        </is>
      </c>
      <c r="C25" s="0">
        <v>10</v>
      </c>
      <c r="D25" s="0">
        <v>33</v>
      </c>
      <c r="E25">
        <f>C25*D25</f>
        <v>330</v>
      </c>
      <c r="F25" t="inlineStr" s="0">
        <is>
          <t>CLEAR</t>
        </is>
      </c>
      <c r="G25" t="inlineStr" s="0">
        <is>
          <t>TRACKING</t>
        </is>
      </c>
    </row>
    <row r="26">
      <c r="A26" t="inlineStr" s="3">
        <is>
          <t>22:00</t>
        </is>
      </c>
      <c r="B26" t="inlineStr" s="3">
        <is>
          <t>Lyra Fjord</t>
        </is>
      </c>
      <c r="C26" s="3">
        <v>12</v>
      </c>
      <c r="D26" s="3">
        <v>18</v>
      </c>
      <c r="E26">
        <f>C26*D26</f>
        <v>216</v>
      </c>
      <c r="F26" t="inlineStr" s="3">
        <is>
          <t>CLEAR</t>
        </is>
      </c>
      <c r="G26" t="inlineStr" s="3">
        <is>
          <t>PEAK ARC</t>
        </is>
      </c>
    </row>
    <row r="27">
      <c r="A27" t="inlineStr" s="0">
        <is>
          <t>22:05</t>
        </is>
      </c>
      <c r="B27" t="inlineStr" s="0">
        <is>
          <t>Orion Camp</t>
        </is>
      </c>
      <c r="C27" s="0">
        <v>4</v>
      </c>
      <c r="D27" s="0">
        <v>21</v>
      </c>
      <c r="E27">
        <f>C27*D27</f>
        <v>84</v>
      </c>
      <c r="F27" t="inlineStr" s="0">
        <is>
          <t>CLEAR</t>
        </is>
      </c>
      <c r="G27" t="inlineStr" s="0">
        <is>
          <t>TRACKING</t>
        </is>
      </c>
    </row>
    <row r="28">
      <c r="A28" t="inlineStr" s="3">
        <is>
          <t>22:10</t>
        </is>
      </c>
      <c r="B28" t="inlineStr" s="3">
        <is>
          <t>Vega Ridge</t>
        </is>
      </c>
      <c r="C28" s="3">
        <v>6</v>
      </c>
      <c r="D28" s="3">
        <v>24</v>
      </c>
      <c r="E28">
        <f>C28*D28</f>
        <v>144</v>
      </c>
      <c r="F28" t="inlineStr" s="3">
        <is>
          <t>CLEAR</t>
        </is>
      </c>
      <c r="G28" t="inlineStr" s="3">
        <is>
          <t>TRACKING</t>
        </is>
      </c>
    </row>
    <row r="29">
      <c r="A29" t="inlineStr" s="0">
        <is>
          <t>22:15</t>
        </is>
      </c>
      <c r="B29" t="inlineStr" s="0">
        <is>
          <t>Polaris Bay</t>
        </is>
      </c>
      <c r="C29" s="0">
        <v>8</v>
      </c>
      <c r="D29" s="0">
        <v>27</v>
      </c>
      <c r="E29">
        <f>C29*D29</f>
        <v>216</v>
      </c>
      <c r="F29" t="inlineStr" s="0">
        <is>
          <t>CLEAR</t>
        </is>
      </c>
      <c r="G29" t="inlineStr" s="0">
        <is>
          <t>TRACKING</t>
        </is>
      </c>
    </row>
    <row r="30">
      <c r="A30" t="inlineStr" s="3">
        <is>
          <t>22:20</t>
        </is>
      </c>
      <c r="B30" t="inlineStr" s="3">
        <is>
          <t>Altair Point</t>
        </is>
      </c>
      <c r="C30" s="3">
        <v>10</v>
      </c>
      <c r="D30" s="3">
        <v>30</v>
      </c>
      <c r="E30">
        <f>C30*D30</f>
        <v>300</v>
      </c>
      <c r="F30" t="inlineStr" s="3">
        <is>
          <t>THIN CLOUD</t>
        </is>
      </c>
      <c r="G30" t="inlineStr" s="3">
        <is>
          <t>PEAK ARC</t>
        </is>
      </c>
    </row>
    <row r="31">
      <c r="A31" t="inlineStr" s="0">
        <is>
          <t>22:25</t>
        </is>
      </c>
      <c r="B31" t="inlineStr" s="0">
        <is>
          <t>Nova Station</t>
        </is>
      </c>
      <c r="C31" s="0">
        <v>12</v>
      </c>
      <c r="D31" s="0">
        <v>33</v>
      </c>
      <c r="E31">
        <f>C31*D31</f>
        <v>396</v>
      </c>
      <c r="F31" t="inlineStr" s="0">
        <is>
          <t>CLEAR</t>
        </is>
      </c>
      <c r="G31" t="inlineStr" s="0">
        <is>
          <t>TRACKING</t>
        </is>
      </c>
    </row>
    <row r="32">
      <c r="A32" t="inlineStr" s="3">
        <is>
          <t>22:30</t>
        </is>
      </c>
      <c r="B32" t="inlineStr" s="3">
        <is>
          <t>Lyra Fjord</t>
        </is>
      </c>
      <c r="C32" s="3">
        <v>4</v>
      </c>
      <c r="D32" s="3">
        <v>18</v>
      </c>
      <c r="E32">
        <f>C32*D32</f>
        <v>72</v>
      </c>
      <c r="F32" t="inlineStr" s="3">
        <is>
          <t>CLEAR</t>
        </is>
      </c>
      <c r="G32" t="inlineStr" s="3">
        <is>
          <t>TRACKING</t>
        </is>
      </c>
    </row>
    <row r="33">
      <c r="A33" t="inlineStr" s="0">
        <is>
          <t>22:35</t>
        </is>
      </c>
      <c r="B33" t="inlineStr" s="0">
        <is>
          <t>Orion Camp</t>
        </is>
      </c>
      <c r="C33" s="0">
        <v>6</v>
      </c>
      <c r="D33" s="0">
        <v>21</v>
      </c>
      <c r="E33">
        <f>C33*D33</f>
        <v>126</v>
      </c>
      <c r="F33" t="inlineStr" s="0">
        <is>
          <t>CLEAR</t>
        </is>
      </c>
      <c r="G33" t="inlineStr" s="0">
        <is>
          <t>TRACKING</t>
        </is>
      </c>
    </row>
    <row r="34">
      <c r="A34" t="inlineStr" s="3">
        <is>
          <t>22:40</t>
        </is>
      </c>
      <c r="B34" t="inlineStr" s="3">
        <is>
          <t>Vega Ridge</t>
        </is>
      </c>
      <c r="C34" s="3">
        <v>8</v>
      </c>
      <c r="D34" s="3">
        <v>24</v>
      </c>
      <c r="E34">
        <f>C34*D34</f>
        <v>192</v>
      </c>
      <c r="F34" t="inlineStr" s="3">
        <is>
          <t>CLEAR</t>
        </is>
      </c>
      <c r="G34" t="inlineStr" s="3">
        <is>
          <t>PEAK ARC</t>
        </is>
      </c>
    </row>
    <row r="35">
      <c r="A35" t="inlineStr" s="0">
        <is>
          <t>22:45</t>
        </is>
      </c>
      <c r="B35" t="inlineStr" s="0">
        <is>
          <t>Polaris Bay</t>
        </is>
      </c>
      <c r="C35" s="0">
        <v>10</v>
      </c>
      <c r="D35" s="0">
        <v>27</v>
      </c>
      <c r="E35">
        <f>C35*D35</f>
        <v>270</v>
      </c>
      <c r="F35" t="inlineStr" s="0">
        <is>
          <t>CLEAR</t>
        </is>
      </c>
      <c r="G35" t="inlineStr" s="0">
        <is>
          <t>TRACKING</t>
        </is>
      </c>
    </row>
    <row r="36">
      <c r="A36" t="inlineStr" s="3">
        <is>
          <t>22:50</t>
        </is>
      </c>
      <c r="B36" t="inlineStr" s="3">
        <is>
          <t>Altair Point</t>
        </is>
      </c>
      <c r="C36" s="3">
        <v>12</v>
      </c>
      <c r="D36" s="3">
        <v>30</v>
      </c>
      <c r="E36">
        <f>C36*D36</f>
        <v>360</v>
      </c>
      <c r="F36" t="inlineStr" s="3">
        <is>
          <t>CLEAR</t>
        </is>
      </c>
      <c r="G36" t="inlineStr" s="3">
        <is>
          <t>TRACKING</t>
        </is>
      </c>
    </row>
    <row r="37">
      <c r="A37" t="inlineStr" s="0">
        <is>
          <t>22:55</t>
        </is>
      </c>
      <c r="B37" t="inlineStr" s="0">
        <is>
          <t>Nova Station</t>
        </is>
      </c>
      <c r="C37" s="0">
        <v>4</v>
      </c>
      <c r="D37" s="0">
        <v>33</v>
      </c>
      <c r="E37">
        <f>C37*D37</f>
        <v>132</v>
      </c>
      <c r="F37" t="inlineStr" s="0">
        <is>
          <t>THIN CLOUD</t>
        </is>
      </c>
      <c r="G37" t="inlineStr" s="0">
        <is>
          <t>TRACKING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8" width="19" customWidth="1"/>
  </cols>
  <sheetData>
    <row r="1">
      <c r="A1" t="inlineStr" s="2">
        <is>
          <t>EXPOSURE PLAN</t>
        </is>
      </c>
      <c r="B1" t="inlineStr" s="2">
        <is>
          <t>LENS / mm</t>
        </is>
      </c>
      <c r="C1" t="inlineStr" s="2">
        <is>
          <t>APERTURE</t>
        </is>
      </c>
      <c r="D1" t="inlineStr" s="2">
        <is>
          <t>ISO</t>
        </is>
      </c>
      <c r="E1" t="inlineStr" s="2">
        <is>
          <t>SHUTTER / s</t>
        </is>
      </c>
      <c r="F1" t="inlineStr" s="2">
        <is>
          <t>FRAMES</t>
        </is>
      </c>
      <c r="G1" t="inlineStr" s="2">
        <is>
          <t>TOTAL / s</t>
        </is>
      </c>
    </row>
    <row r="2">
      <c r="A2" t="inlineStr" s="3">
        <is>
          <t>Wide horizon</t>
        </is>
      </c>
      <c r="B2" s="3">
        <v>14</v>
      </c>
      <c r="C2" t="inlineStr" s="3">
        <is>
          <t>f/2.8</t>
        </is>
      </c>
      <c r="D2" s="3">
        <v>1600</v>
      </c>
      <c r="E2" s="3">
        <v>8</v>
      </c>
      <c r="F2" s="3">
        <v>45</v>
      </c>
      <c r="G2" s="3">
        <v>360</v>
      </c>
    </row>
    <row r="3">
      <c r="A3" t="inlineStr" s="0">
        <is>
          <t>Curtain detail</t>
        </is>
      </c>
      <c r="B3" s="0">
        <v>24</v>
      </c>
      <c r="C3" t="inlineStr" s="0">
        <is>
          <t>f/1.8</t>
        </is>
      </c>
      <c r="D3" s="0">
        <v>800</v>
      </c>
      <c r="E3" s="0">
        <v>4</v>
      </c>
      <c r="F3" s="0">
        <v>60</v>
      </c>
      <c r="G3" s="0">
        <v>240</v>
      </c>
    </row>
    <row r="4">
      <c r="A4" t="inlineStr" s="3">
        <is>
          <t>Star field</t>
        </is>
      </c>
      <c r="B4" s="3">
        <v>20</v>
      </c>
      <c r="C4" t="inlineStr" s="3">
        <is>
          <t>f/2.0</t>
        </is>
      </c>
      <c r="D4" s="3">
        <v>3200</v>
      </c>
      <c r="E4" s="3">
        <v>12</v>
      </c>
      <c r="F4" s="3">
        <v>40</v>
      </c>
      <c r="G4" s="3">
        <v>480</v>
      </c>
    </row>
    <row r="5">
      <c r="A5" t="inlineStr" s="0">
        <is>
          <t>Blue hour</t>
        </is>
      </c>
      <c r="B5" s="0">
        <v>35</v>
      </c>
      <c r="C5" t="inlineStr" s="0">
        <is>
          <t>f/4.0</t>
        </is>
      </c>
      <c r="D5" s="0">
        <v>200</v>
      </c>
      <c r="E5" s="0">
        <v>1</v>
      </c>
      <c r="F5" s="0">
        <v>30</v>
      </c>
      <c r="G5" s="0">
        <v>30</v>
      </c>
    </row>
    <row r="6"/>
    <row r="7">
      <c r="A7" t="inlineStr" s="0">
        <is>
          <t>TOTAL TIME</t>
        </is>
      </c>
      <c r="B7">
        <f>SUM(G2:G5)</f>
        <v>1110</v>
      </c>
      <c r="C7" t="inlineStr" s="0">
        <is>
          <t>seconds</t>
        </is>
      </c>
    </row>
    <row r="8"/>
    <row r="9">
      <c r="A9" t="inlineStr" s="0">
        <is>
          <t>SCENARIO</t>
        </is>
      </c>
      <c r="B9" t="inlineStr" s="0">
        <is>
          <t>EXPECTED RESULT</t>
        </is>
      </c>
    </row>
    <row r="10">
      <c r="A10" t="inlineStr" s="3">
        <is>
          <t>Fast movement</t>
        </is>
      </c>
      <c r="B10" t="inlineStr" s="3">
        <is>
          <t>Shorter exposure</t>
        </is>
      </c>
    </row>
    <row r="11">
      <c r="A11" t="inlineStr" s="0">
        <is>
          <t>Faint structure</t>
        </is>
      </c>
      <c r="B11" t="inlineStr" s="0">
        <is>
          <t>Higher sensitivity</t>
        </is>
      </c>
    </row>
    <row r="12">
      <c r="A12" t="inlineStr" s="3">
        <is>
          <t>Steady sky</t>
        </is>
      </c>
      <c r="B12" t="inlineStr" s="3">
        <is>
          <t>Longer exposure</t>
        </is>
      </c>
    </row>
    <row r="13"/>
    <row r="14">
      <c r="A14" t="inlineStr" s="3">
        <is>
          <t>PUBLIC SAMPLE</t>
        </is>
      </c>
      <c r="B14" t="inlineStr" s="3">
        <is>
          <t>Fictional planning data</t>
        </is>
      </c>
    </row>
  </sheetData>
</worksheet>
</file>